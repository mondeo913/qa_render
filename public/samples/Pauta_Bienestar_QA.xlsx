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75" windowWidth="20730" windowHeight="11760"/>
  </bookViews>
  <sheets>
    <sheet name="TELEVISIÓN (3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2" i="7" l="1"/>
  <c r="BY22" i="7"/>
  <c r="CA9" i="7" l="1"/>
  <c r="CA10" i="7"/>
  <c r="CB10" i="7" s="1"/>
  <c r="CA11" i="7"/>
  <c r="CB11" i="7" s="1"/>
  <c r="CA12" i="7"/>
  <c r="CB12" i="7" s="1"/>
  <c r="CA13" i="7"/>
  <c r="CB13" i="7"/>
  <c r="CA14" i="7"/>
  <c r="CB14" i="7" s="1"/>
  <c r="CA15" i="7"/>
  <c r="CB15" i="7" s="1"/>
  <c r="CA16" i="7"/>
  <c r="CB16" i="7" s="1"/>
  <c r="CA17" i="7"/>
  <c r="CB17" i="7" s="1"/>
  <c r="CA18" i="7"/>
  <c r="CB18" i="7" s="1"/>
  <c r="CA19" i="7"/>
  <c r="CB19" i="7" s="1"/>
  <c r="CA20" i="7"/>
  <c r="CB20" i="7" s="1"/>
  <c r="CA21" i="7"/>
  <c r="CB21" i="7" s="1"/>
  <c r="CB9" i="7" l="1"/>
  <c r="CB22" i="7" s="1"/>
  <c r="CA22" i="7"/>
</calcChain>
</file>

<file path=xl/sharedStrings.xml><?xml version="1.0" encoding="utf-8"?>
<sst xmlns="http://schemas.openxmlformats.org/spreadsheetml/2006/main" count="250" uniqueCount="73">
  <si>
    <t>RFC</t>
  </si>
  <si>
    <t>COBERTURA</t>
  </si>
  <si>
    <t>JULIO</t>
  </si>
  <si>
    <t>AGOSTO</t>
  </si>
  <si>
    <t>TOTAL DE SERVICIOS</t>
  </si>
  <si>
    <t>L</t>
  </si>
  <si>
    <t>M</t>
  </si>
  <si>
    <t>J</t>
  </si>
  <si>
    <t>V</t>
  </si>
  <si>
    <t>S</t>
  </si>
  <si>
    <t>D</t>
  </si>
  <si>
    <t>VERSIÓN</t>
  </si>
  <si>
    <t>NOMBRE COMERCIAL</t>
  </si>
  <si>
    <t>CAMPAÑA</t>
  </si>
  <si>
    <t>RAZÓN SOCIAL</t>
  </si>
  <si>
    <t>NACIONAL</t>
  </si>
  <si>
    <t>COSTO UNITARIO S/IVA</t>
  </si>
  <si>
    <t>COSTO UNITARIO C/IVA</t>
  </si>
  <si>
    <t>I.V.A.
UNITARIO</t>
  </si>
  <si>
    <t xml:space="preserve">TIPO DE MEDIO </t>
  </si>
  <si>
    <t xml:space="preserve">CADENA TELEVISORA A LA QUE PERTENECE </t>
  </si>
  <si>
    <t xml:space="preserve">COBERTURA </t>
  </si>
  <si>
    <t xml:space="preserve">SIGLAS </t>
  </si>
  <si>
    <t xml:space="preserve">CANAL </t>
  </si>
  <si>
    <t xml:space="preserve">GÉNERO / PROGRAMA </t>
  </si>
  <si>
    <t xml:space="preserve">ESPACIO PROGRAMÁTICO </t>
  </si>
  <si>
    <t>FORMATO Y DURACIÓN DEL PRODUCTO</t>
  </si>
  <si>
    <t>TELEVISIÓN</t>
  </si>
  <si>
    <t>CANAL CATORCE</t>
  </si>
  <si>
    <t>SISTEMA PÚBLICO DE RADIODIFUSIÓN DEL ESTADO MEXICANO</t>
  </si>
  <si>
    <t>XHSPR-TDT</t>
  </si>
  <si>
    <t>ENTREVISTA</t>
  </si>
  <si>
    <t>X</t>
  </si>
  <si>
    <t>CINE</t>
  </si>
  <si>
    <t>30 seg</t>
  </si>
  <si>
    <t>NOTICIARIO</t>
  </si>
  <si>
    <t>SPOT TELEVISIVO / 
30 seg</t>
  </si>
  <si>
    <t>OPN100331UG5</t>
  </si>
  <si>
    <t>Programas de Bienestar</t>
  </si>
  <si>
    <t>OPINIÓN</t>
  </si>
  <si>
    <t>FICCIÓN</t>
  </si>
  <si>
    <t>CONTENIDO</t>
  </si>
  <si>
    <t>FRANJA HORARIA</t>
  </si>
  <si>
    <t>19:00:00 h - 23:59:59</t>
  </si>
  <si>
    <t>05:00:00 h - 12:59:59</t>
  </si>
  <si>
    <t>AGUASCALIENTES</t>
  </si>
  <si>
    <t>VERACRUZ</t>
  </si>
  <si>
    <t>MORELOS</t>
  </si>
  <si>
    <t>BAJA CALIFORNIA</t>
  </si>
  <si>
    <t>JALISCO</t>
  </si>
  <si>
    <t>MICHOACÁN</t>
  </si>
  <si>
    <t>YUCATÁN</t>
  </si>
  <si>
    <t>NUEVO LEÓN</t>
  </si>
  <si>
    <t>OAXACA</t>
  </si>
  <si>
    <t>PUEBLA</t>
  </si>
  <si>
    <t>CHIAPAS</t>
  </si>
  <si>
    <t>CHIHUAHUA</t>
  </si>
  <si>
    <t>ZACATECAS</t>
  </si>
  <si>
    <t>XHSPRAG</t>
  </si>
  <si>
    <t>XHSPRCA</t>
  </si>
  <si>
    <t>XHCPD</t>
  </si>
  <si>
    <t>XHCPAH</t>
  </si>
  <si>
    <t>XHSPRGA</t>
  </si>
  <si>
    <t>XHCPCU</t>
  </si>
  <si>
    <t>XHSPRME</t>
  </si>
  <si>
    <t>XHSPRMT</t>
  </si>
  <si>
    <t>XHSPROA</t>
  </si>
  <si>
    <t>XHSPRPA</t>
  </si>
  <si>
    <t>XHSPRTC</t>
  </si>
  <si>
    <t>XHCPAU</t>
  </si>
  <si>
    <t>XHSPRZC</t>
  </si>
  <si>
    <t>ANÁLISIS</t>
  </si>
  <si>
    <t>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</si>
</sst>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EA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3" fillId="3" borderId="10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3" fillId="2" borderId="1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top" wrapText="1"/>
    </xf>
    <xf numFmtId="0" fontId="3" fillId="3" borderId="29" xfId="1" applyFont="1" applyFill="1" applyBorder="1" applyAlignment="1">
      <alignment horizontal="center" vertical="center" wrapText="1"/>
    </xf>
    <xf numFmtId="0" fontId="3" fillId="2" borderId="29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9" fillId="0" borderId="20" xfId="0" applyFont="1" applyBorder="1"/>
    <xf numFmtId="0" fontId="11" fillId="0" borderId="20" xfId="0" applyFont="1" applyBorder="1" applyAlignment="1">
      <alignment horizontal="center" vertical="center"/>
    </xf>
    <xf numFmtId="0" fontId="9" fillId="2" borderId="20" xfId="0" applyFont="1" applyFill="1" applyBorder="1"/>
    <xf numFmtId="0" fontId="10" fillId="0" borderId="20" xfId="0" applyFont="1" applyBorder="1"/>
    <xf numFmtId="0" fontId="9" fillId="0" borderId="21" xfId="0" applyFont="1" applyBorder="1"/>
    <xf numFmtId="0" fontId="9" fillId="0" borderId="20" xfId="0" applyFont="1" applyBorder="1" applyAlignment="1">
      <alignment horizontal="center" vertical="center"/>
    </xf>
    <xf numFmtId="0" fontId="9" fillId="2" borderId="24" xfId="0" applyFont="1" applyFill="1" applyBorder="1"/>
    <xf numFmtId="0" fontId="9" fillId="0" borderId="17" xfId="0" applyFont="1" applyBorder="1"/>
    <xf numFmtId="0" fontId="9" fillId="2" borderId="17" xfId="0" applyFont="1" applyFill="1" applyBorder="1"/>
    <xf numFmtId="0" fontId="10" fillId="0" borderId="17" xfId="0" applyFont="1" applyBorder="1"/>
    <xf numFmtId="0" fontId="9" fillId="0" borderId="19" xfId="0" applyFont="1" applyBorder="1"/>
    <xf numFmtId="0" fontId="9" fillId="2" borderId="23" xfId="0" applyFont="1" applyFill="1" applyBorder="1"/>
    <xf numFmtId="0" fontId="9" fillId="0" borderId="17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9" fillId="0" borderId="18" xfId="0" applyFont="1" applyBorder="1"/>
    <xf numFmtId="0" fontId="9" fillId="2" borderId="18" xfId="0" applyFont="1" applyFill="1" applyBorder="1"/>
    <xf numFmtId="164" fontId="5" fillId="0" borderId="15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5" fillId="0" borderId="42" xfId="0" applyNumberFormat="1" applyFont="1" applyBorder="1" applyAlignment="1">
      <alignment horizontal="center" vertical="center"/>
    </xf>
    <xf numFmtId="164" fontId="5" fillId="0" borderId="43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" fontId="5" fillId="0" borderId="44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" fontId="5" fillId="0" borderId="4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vertical="center"/>
    </xf>
    <xf numFmtId="0" fontId="9" fillId="0" borderId="49" xfId="0" applyFont="1" applyBorder="1"/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/>
    <xf numFmtId="0" fontId="9" fillId="0" borderId="52" xfId="0" applyFont="1" applyBorder="1"/>
    <xf numFmtId="0" fontId="3" fillId="6" borderId="10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3" xfId="1" applyFont="1" applyFill="1" applyBorder="1" applyAlignment="1">
      <alignment horizontal="center" vertical="center" wrapText="1"/>
    </xf>
    <xf numFmtId="0" fontId="3" fillId="6" borderId="37" xfId="1" applyFont="1" applyFill="1" applyBorder="1" applyAlignment="1">
      <alignment horizontal="center" vertical="center" wrapText="1"/>
    </xf>
    <xf numFmtId="0" fontId="9" fillId="6" borderId="17" xfId="0" applyFont="1" applyFill="1" applyBorder="1"/>
    <xf numFmtId="0" fontId="9" fillId="6" borderId="20" xfId="0" applyFont="1" applyFill="1" applyBorder="1"/>
    <xf numFmtId="0" fontId="10" fillId="6" borderId="20" xfId="0" applyFont="1" applyFill="1" applyBorder="1"/>
    <xf numFmtId="0" fontId="9" fillId="6" borderId="46" xfId="0" applyFont="1" applyFill="1" applyBorder="1"/>
    <xf numFmtId="0" fontId="10" fillId="6" borderId="17" xfId="0" applyFont="1" applyFill="1" applyBorder="1"/>
    <xf numFmtId="0" fontId="9" fillId="6" borderId="47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8" xfId="0" applyFont="1" applyFill="1" applyBorder="1"/>
    <xf numFmtId="0" fontId="9" fillId="6" borderId="48" xfId="0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left" vertical="center" wrapText="1"/>
    </xf>
    <xf numFmtId="0" fontId="5" fillId="2" borderId="9" xfId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0" borderId="7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7" xfId="1" applyFont="1" applyBorder="1" applyAlignment="1">
      <alignment horizontal="left" vertical="center" wrapText="1"/>
    </xf>
    <xf numFmtId="0" fontId="5" fillId="0" borderId="26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Formato prop prov" xfId="1"/>
  </cellStyles>
  <dxfs count="5">
    <dxf>
      <fill>
        <patternFill>
          <bgColor theme="9" tint="0.79998168889431442"/>
        </patternFill>
      </fill>
    </dxf>
    <dxf>
      <fill>
        <patternFill>
          <bgColor rgb="FFFEEB9A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CCFF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22"/>
  <sheetViews>
    <sheetView tabSelected="1" topLeftCell="C1" zoomScale="110" zoomScaleNormal="110" workbookViewId="0">
      <pane xSplit="1" ySplit="8" topLeftCell="I9" activePane="bottomRight" state="frozen"/>
      <selection activeCell="C1" sqref="C1"/>
      <selection pane="topRight" activeCell="D1" sqref="D1"/>
      <selection pane="bottomLeft" activeCell="C9" sqref="C9"/>
      <selection pane="bottomRight" activeCell="BF20" sqref="BF20"/>
    </sheetView>
  </sheetViews>
  <sheetFormatPr baseColWidth="10" defaultRowHeight="14.25"/>
  <cols>
    <col min="1" max="1" width="16.625" customWidth="1"/>
    <col min="2" max="2" width="17.375" bestFit="1" customWidth="1"/>
    <col min="3" max="3" width="16.375" hidden="1" customWidth="1"/>
    <col min="4" max="4" width="20.125" hidden="1" customWidth="1"/>
    <col min="5" max="5" width="14.875" hidden="1" customWidth="1"/>
    <col min="6" max="6" width="20.375" hidden="1" customWidth="1"/>
    <col min="7" max="8" width="15.125" hidden="1" customWidth="1"/>
    <col min="9" max="9" width="18" customWidth="1"/>
    <col min="10" max="10" width="19" customWidth="1"/>
    <col min="11" max="12" width="15.125" customWidth="1"/>
    <col min="13" max="14" width="18.875" customWidth="1"/>
    <col min="15" max="76" width="3.125" customWidth="1"/>
    <col min="77" max="77" width="11.625" customWidth="1"/>
    <col min="78" max="78" width="16.375" customWidth="1"/>
    <col min="79" max="79" width="13.125" customWidth="1"/>
    <col min="80" max="80" width="16.375" customWidth="1"/>
  </cols>
  <sheetData>
    <row r="1" spans="1:80" ht="15.95" thickBot="1"/>
    <row r="2" spans="1:80" s="5" customFormat="1" ht="35.1" customHeight="1" thickBot="1">
      <c r="A2" s="79" t="s">
        <v>19</v>
      </c>
      <c r="B2" s="80"/>
      <c r="C2" s="81" t="s">
        <v>27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80" s="5" customFormat="1" ht="30.95" customHeight="1" thickBot="1">
      <c r="A3" s="79" t="s">
        <v>12</v>
      </c>
      <c r="B3" s="80"/>
      <c r="C3" s="84" t="s">
        <v>28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6"/>
    </row>
    <row r="4" spans="1:80" s="5" customFormat="1" ht="35.1" customHeight="1" thickBot="1">
      <c r="A4" s="79" t="s">
        <v>14</v>
      </c>
      <c r="B4" s="80"/>
      <c r="C4" s="84" t="s">
        <v>29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6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</row>
    <row r="5" spans="1:80" s="5" customFormat="1" ht="36.950000000000003" customHeight="1" thickBot="1">
      <c r="A5" s="79" t="s">
        <v>0</v>
      </c>
      <c r="B5" s="80"/>
      <c r="C5" s="93" t="s">
        <v>37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5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6"/>
      <c r="BZ5" s="7"/>
      <c r="CA5" s="7"/>
      <c r="CB5" s="7"/>
    </row>
    <row r="6" spans="1:80" s="25" customFormat="1" ht="17.25" customHeight="1" thickBo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  <c r="N6" s="26"/>
      <c r="O6" s="89" t="s">
        <v>2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89" t="s">
        <v>3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1"/>
      <c r="BY6" s="9"/>
      <c r="BZ6" s="10"/>
      <c r="CA6" s="10"/>
      <c r="CB6" s="10"/>
    </row>
    <row r="7" spans="1:80" ht="35.1" customHeight="1" thickBot="1">
      <c r="A7" s="110" t="s">
        <v>13</v>
      </c>
      <c r="B7" s="110" t="s">
        <v>11</v>
      </c>
      <c r="C7" s="110" t="s">
        <v>1</v>
      </c>
      <c r="D7" s="110" t="s">
        <v>20</v>
      </c>
      <c r="E7" s="110" t="s">
        <v>21</v>
      </c>
      <c r="F7" s="110" t="s">
        <v>22</v>
      </c>
      <c r="G7" s="110" t="s">
        <v>23</v>
      </c>
      <c r="H7" s="112" t="s">
        <v>25</v>
      </c>
      <c r="I7" s="113"/>
      <c r="J7" s="113"/>
      <c r="K7" s="113"/>
      <c r="L7" s="113"/>
      <c r="M7" s="114"/>
      <c r="N7" s="110" t="s">
        <v>26</v>
      </c>
      <c r="O7" s="20">
        <v>1</v>
      </c>
      <c r="P7" s="13">
        <v>2</v>
      </c>
      <c r="Q7" s="13">
        <v>3</v>
      </c>
      <c r="R7" s="14">
        <v>4</v>
      </c>
      <c r="S7" s="14">
        <v>5</v>
      </c>
      <c r="T7" s="13">
        <v>6</v>
      </c>
      <c r="U7" s="13">
        <v>7</v>
      </c>
      <c r="V7" s="13">
        <v>8</v>
      </c>
      <c r="W7" s="13">
        <v>9</v>
      </c>
      <c r="X7" s="13">
        <v>10</v>
      </c>
      <c r="Y7" s="14">
        <v>11</v>
      </c>
      <c r="Z7" s="14">
        <v>12</v>
      </c>
      <c r="AA7" s="13">
        <v>13</v>
      </c>
      <c r="AB7" s="13">
        <v>14</v>
      </c>
      <c r="AC7" s="13">
        <v>15</v>
      </c>
      <c r="AD7" s="13">
        <v>16</v>
      </c>
      <c r="AE7" s="13">
        <v>17</v>
      </c>
      <c r="AF7" s="14">
        <v>18</v>
      </c>
      <c r="AG7" s="14">
        <v>19</v>
      </c>
      <c r="AH7" s="13">
        <v>20</v>
      </c>
      <c r="AI7" s="13">
        <v>21</v>
      </c>
      <c r="AJ7" s="13">
        <v>22</v>
      </c>
      <c r="AK7" s="13">
        <v>23</v>
      </c>
      <c r="AL7" s="13">
        <v>24</v>
      </c>
      <c r="AM7" s="14">
        <v>25</v>
      </c>
      <c r="AN7" s="14">
        <v>26</v>
      </c>
      <c r="AO7" s="13">
        <v>27</v>
      </c>
      <c r="AP7" s="13">
        <v>28</v>
      </c>
      <c r="AQ7" s="13">
        <v>29</v>
      </c>
      <c r="AR7" s="13">
        <v>30</v>
      </c>
      <c r="AS7" s="15">
        <v>31</v>
      </c>
      <c r="AT7" s="8">
        <v>1</v>
      </c>
      <c r="AU7" s="3">
        <v>2</v>
      </c>
      <c r="AV7" s="1">
        <v>3</v>
      </c>
      <c r="AW7" s="1">
        <v>4</v>
      </c>
      <c r="AX7" s="1">
        <v>5</v>
      </c>
      <c r="AY7" s="1">
        <v>6</v>
      </c>
      <c r="AZ7" s="1">
        <v>7</v>
      </c>
      <c r="BA7" s="3">
        <v>8</v>
      </c>
      <c r="BB7" s="3">
        <v>9</v>
      </c>
      <c r="BC7" s="1">
        <v>10</v>
      </c>
      <c r="BD7" s="1">
        <v>11</v>
      </c>
      <c r="BE7" s="1">
        <v>12</v>
      </c>
      <c r="BF7" s="1">
        <v>13</v>
      </c>
      <c r="BG7" s="1">
        <v>14</v>
      </c>
      <c r="BH7" s="3">
        <v>15</v>
      </c>
      <c r="BI7" s="3">
        <v>16</v>
      </c>
      <c r="BJ7" s="1">
        <v>17</v>
      </c>
      <c r="BK7" s="1">
        <v>18</v>
      </c>
      <c r="BL7" s="1">
        <v>19</v>
      </c>
      <c r="BM7" s="1">
        <v>20</v>
      </c>
      <c r="BN7" s="1">
        <v>21</v>
      </c>
      <c r="BO7" s="3">
        <v>22</v>
      </c>
      <c r="BP7" s="3">
        <v>23</v>
      </c>
      <c r="BQ7" s="1">
        <v>24</v>
      </c>
      <c r="BR7" s="64">
        <v>25</v>
      </c>
      <c r="BS7" s="64">
        <v>26</v>
      </c>
      <c r="BT7" s="64">
        <v>27</v>
      </c>
      <c r="BU7" s="64">
        <v>28</v>
      </c>
      <c r="BV7" s="64">
        <v>29</v>
      </c>
      <c r="BW7" s="64">
        <v>30</v>
      </c>
      <c r="BX7" s="65">
        <v>31</v>
      </c>
      <c r="BY7" s="108" t="s">
        <v>4</v>
      </c>
      <c r="BZ7" s="97" t="s">
        <v>16</v>
      </c>
      <c r="CA7" s="97" t="s">
        <v>18</v>
      </c>
      <c r="CB7" s="97" t="s">
        <v>17</v>
      </c>
    </row>
    <row r="8" spans="1:80" ht="32.25" customHeight="1" thickBot="1">
      <c r="A8" s="111"/>
      <c r="B8" s="111"/>
      <c r="C8" s="111"/>
      <c r="D8" s="111"/>
      <c r="E8" s="111"/>
      <c r="F8" s="111"/>
      <c r="G8" s="111"/>
      <c r="H8" s="11" t="s">
        <v>24</v>
      </c>
      <c r="I8" s="11" t="s">
        <v>1</v>
      </c>
      <c r="J8" s="11" t="s">
        <v>23</v>
      </c>
      <c r="K8" s="11" t="s">
        <v>22</v>
      </c>
      <c r="L8" s="11" t="s">
        <v>41</v>
      </c>
      <c r="M8" s="11" t="s">
        <v>42</v>
      </c>
      <c r="N8" s="111"/>
      <c r="O8" s="16" t="s">
        <v>6</v>
      </c>
      <c r="P8" s="17" t="s">
        <v>7</v>
      </c>
      <c r="Q8" s="17" t="s">
        <v>8</v>
      </c>
      <c r="R8" s="18" t="s">
        <v>9</v>
      </c>
      <c r="S8" s="18" t="s">
        <v>10</v>
      </c>
      <c r="T8" s="17" t="s">
        <v>5</v>
      </c>
      <c r="U8" s="17" t="s">
        <v>6</v>
      </c>
      <c r="V8" s="17" t="s">
        <v>6</v>
      </c>
      <c r="W8" s="17" t="s">
        <v>7</v>
      </c>
      <c r="X8" s="17" t="s">
        <v>8</v>
      </c>
      <c r="Y8" s="18" t="s">
        <v>9</v>
      </c>
      <c r="Z8" s="18" t="s">
        <v>10</v>
      </c>
      <c r="AA8" s="17" t="s">
        <v>5</v>
      </c>
      <c r="AB8" s="17" t="s">
        <v>6</v>
      </c>
      <c r="AC8" s="17" t="s">
        <v>6</v>
      </c>
      <c r="AD8" s="17" t="s">
        <v>7</v>
      </c>
      <c r="AE8" s="17" t="s">
        <v>8</v>
      </c>
      <c r="AF8" s="18" t="s">
        <v>9</v>
      </c>
      <c r="AG8" s="18" t="s">
        <v>10</v>
      </c>
      <c r="AH8" s="17" t="s">
        <v>5</v>
      </c>
      <c r="AI8" s="17" t="s">
        <v>6</v>
      </c>
      <c r="AJ8" s="17" t="s">
        <v>6</v>
      </c>
      <c r="AK8" s="17" t="s">
        <v>7</v>
      </c>
      <c r="AL8" s="17" t="s">
        <v>8</v>
      </c>
      <c r="AM8" s="18" t="s">
        <v>9</v>
      </c>
      <c r="AN8" s="18" t="s">
        <v>10</v>
      </c>
      <c r="AO8" s="17" t="s">
        <v>5</v>
      </c>
      <c r="AP8" s="17" t="s">
        <v>6</v>
      </c>
      <c r="AQ8" s="17" t="s">
        <v>6</v>
      </c>
      <c r="AR8" s="17" t="s">
        <v>7</v>
      </c>
      <c r="AS8" s="19" t="s">
        <v>8</v>
      </c>
      <c r="AT8" s="21" t="s">
        <v>9</v>
      </c>
      <c r="AU8" s="4" t="s">
        <v>10</v>
      </c>
      <c r="AV8" s="2" t="s">
        <v>5</v>
      </c>
      <c r="AW8" s="2" t="s">
        <v>6</v>
      </c>
      <c r="AX8" s="2" t="s">
        <v>6</v>
      </c>
      <c r="AY8" s="2" t="s">
        <v>7</v>
      </c>
      <c r="AZ8" s="2" t="s">
        <v>8</v>
      </c>
      <c r="BA8" s="4" t="s">
        <v>9</v>
      </c>
      <c r="BB8" s="4" t="s">
        <v>10</v>
      </c>
      <c r="BC8" s="2" t="s">
        <v>5</v>
      </c>
      <c r="BD8" s="2" t="s">
        <v>6</v>
      </c>
      <c r="BE8" s="2" t="s">
        <v>6</v>
      </c>
      <c r="BF8" s="2" t="s">
        <v>7</v>
      </c>
      <c r="BG8" s="2" t="s">
        <v>8</v>
      </c>
      <c r="BH8" s="4" t="s">
        <v>9</v>
      </c>
      <c r="BI8" s="4" t="s">
        <v>10</v>
      </c>
      <c r="BJ8" s="2" t="s">
        <v>5</v>
      </c>
      <c r="BK8" s="2" t="s">
        <v>6</v>
      </c>
      <c r="BL8" s="2" t="s">
        <v>6</v>
      </c>
      <c r="BM8" s="2" t="s">
        <v>7</v>
      </c>
      <c r="BN8" s="2" t="s">
        <v>8</v>
      </c>
      <c r="BO8" s="4" t="s">
        <v>9</v>
      </c>
      <c r="BP8" s="4" t="s">
        <v>10</v>
      </c>
      <c r="BQ8" s="2" t="s">
        <v>5</v>
      </c>
      <c r="BR8" s="66" t="s">
        <v>6</v>
      </c>
      <c r="BS8" s="66" t="s">
        <v>6</v>
      </c>
      <c r="BT8" s="66" t="s">
        <v>7</v>
      </c>
      <c r="BU8" s="66" t="s">
        <v>8</v>
      </c>
      <c r="BV8" s="66" t="s">
        <v>9</v>
      </c>
      <c r="BW8" s="66" t="s">
        <v>10</v>
      </c>
      <c r="BX8" s="67" t="s">
        <v>5</v>
      </c>
      <c r="BY8" s="109"/>
      <c r="BZ8" s="98"/>
      <c r="CA8" s="98"/>
      <c r="CB8" s="98"/>
    </row>
    <row r="9" spans="1:80" ht="36">
      <c r="A9" s="99" t="s">
        <v>38</v>
      </c>
      <c r="B9" s="102" t="s">
        <v>34</v>
      </c>
      <c r="C9" s="105" t="s">
        <v>15</v>
      </c>
      <c r="D9" s="23" t="s">
        <v>29</v>
      </c>
      <c r="E9" s="12" t="s">
        <v>15</v>
      </c>
      <c r="F9" s="12" t="s">
        <v>30</v>
      </c>
      <c r="G9" s="12" t="s">
        <v>28</v>
      </c>
      <c r="H9" s="12" t="s">
        <v>35</v>
      </c>
      <c r="I9" s="47" t="s">
        <v>45</v>
      </c>
      <c r="J9" s="47" t="s">
        <v>28</v>
      </c>
      <c r="K9" s="47" t="s">
        <v>58</v>
      </c>
      <c r="L9" s="47" t="s">
        <v>35</v>
      </c>
      <c r="M9" s="47" t="s">
        <v>43</v>
      </c>
      <c r="N9" s="47" t="s">
        <v>36</v>
      </c>
      <c r="O9" s="60"/>
      <c r="P9" s="30"/>
      <c r="Q9" s="30"/>
      <c r="R9" s="29"/>
      <c r="S9" s="29"/>
      <c r="T9" s="27"/>
      <c r="U9" s="32" t="s">
        <v>32</v>
      </c>
      <c r="V9" s="27"/>
      <c r="W9" s="30"/>
      <c r="X9" s="30"/>
      <c r="Y9" s="29"/>
      <c r="Z9" s="29"/>
      <c r="AA9" s="27"/>
      <c r="AB9" s="27"/>
      <c r="AC9" s="27"/>
      <c r="AD9" s="30"/>
      <c r="AE9" s="30"/>
      <c r="AF9" s="29"/>
      <c r="AG9" s="29"/>
      <c r="AH9" s="27"/>
      <c r="AI9" s="27"/>
      <c r="AJ9" s="27"/>
      <c r="AK9" s="30"/>
      <c r="AL9" s="30"/>
      <c r="AM9" s="29"/>
      <c r="AN9" s="29"/>
      <c r="AO9" s="27"/>
      <c r="AP9" s="27"/>
      <c r="AQ9" s="27"/>
      <c r="AR9" s="27"/>
      <c r="AS9" s="31"/>
      <c r="AT9" s="33"/>
      <c r="AU9" s="29"/>
      <c r="AV9" s="27"/>
      <c r="AW9" s="27"/>
      <c r="AX9" s="27"/>
      <c r="AY9" s="30"/>
      <c r="AZ9" s="30"/>
      <c r="BA9" s="29"/>
      <c r="BB9" s="29"/>
      <c r="BC9" s="27"/>
      <c r="BD9" s="27"/>
      <c r="BE9" s="27"/>
      <c r="BF9" s="27"/>
      <c r="BG9" s="27"/>
      <c r="BH9" s="29"/>
      <c r="BI9" s="29"/>
      <c r="BJ9" s="27"/>
      <c r="BK9" s="27"/>
      <c r="BL9" s="27"/>
      <c r="BM9" s="30"/>
      <c r="BN9" s="30"/>
      <c r="BO9" s="29"/>
      <c r="BP9" s="29"/>
      <c r="BQ9" s="27"/>
      <c r="BR9" s="68"/>
      <c r="BS9" s="69"/>
      <c r="BT9" s="70"/>
      <c r="BU9" s="70"/>
      <c r="BV9" s="69"/>
      <c r="BW9" s="69"/>
      <c r="BX9" s="71"/>
      <c r="BY9" s="54">
        <v>1</v>
      </c>
      <c r="BZ9" s="43">
        <v>33983</v>
      </c>
      <c r="CA9" s="44">
        <f t="shared" ref="CA9:CA21" si="0">BZ9*0.16</f>
        <v>5437.28</v>
      </c>
      <c r="CB9" s="50">
        <f>BZ9+CA9</f>
        <v>39420.28</v>
      </c>
    </row>
    <row r="10" spans="1:80" ht="36">
      <c r="A10" s="100"/>
      <c r="B10" s="103"/>
      <c r="C10" s="106"/>
      <c r="D10" s="23" t="s">
        <v>29</v>
      </c>
      <c r="E10" s="12" t="s">
        <v>15</v>
      </c>
      <c r="F10" s="12" t="s">
        <v>30</v>
      </c>
      <c r="G10" s="12" t="s">
        <v>28</v>
      </c>
      <c r="H10" s="12" t="s">
        <v>31</v>
      </c>
      <c r="I10" s="47" t="s">
        <v>46</v>
      </c>
      <c r="J10" s="47" t="s">
        <v>28</v>
      </c>
      <c r="K10" s="47" t="s">
        <v>59</v>
      </c>
      <c r="L10" s="47" t="s">
        <v>35</v>
      </c>
      <c r="M10" s="47" t="s">
        <v>43</v>
      </c>
      <c r="N10" s="47" t="s">
        <v>36</v>
      </c>
      <c r="O10" s="61"/>
      <c r="P10" s="36"/>
      <c r="Q10" s="36"/>
      <c r="R10" s="35"/>
      <c r="S10" s="35"/>
      <c r="T10" s="34"/>
      <c r="U10" s="34"/>
      <c r="V10" s="34"/>
      <c r="W10" s="36"/>
      <c r="X10" s="32"/>
      <c r="Y10" s="35"/>
      <c r="Z10" s="35"/>
      <c r="AA10" s="34"/>
      <c r="AB10" s="34"/>
      <c r="AC10" s="32" t="s">
        <v>32</v>
      </c>
      <c r="AD10" s="36"/>
      <c r="AE10" s="36"/>
      <c r="AF10" s="35"/>
      <c r="AG10" s="35"/>
      <c r="AH10" s="34"/>
      <c r="AI10" s="34"/>
      <c r="AJ10" s="34"/>
      <c r="AK10" s="36"/>
      <c r="AL10" s="36"/>
      <c r="AM10" s="35"/>
      <c r="AN10" s="35"/>
      <c r="AO10" s="34"/>
      <c r="AP10" s="34"/>
      <c r="AQ10" s="34"/>
      <c r="AR10" s="34"/>
      <c r="AS10" s="37"/>
      <c r="AT10" s="38"/>
      <c r="AU10" s="35"/>
      <c r="AV10" s="34"/>
      <c r="AW10" s="34"/>
      <c r="AX10" s="34"/>
      <c r="AY10" s="36"/>
      <c r="AZ10" s="36"/>
      <c r="BA10" s="35"/>
      <c r="BB10" s="35"/>
      <c r="BC10" s="34"/>
      <c r="BD10" s="34"/>
      <c r="BE10" s="34"/>
      <c r="BF10" s="34"/>
      <c r="BG10" s="34"/>
      <c r="BH10" s="35"/>
      <c r="BI10" s="35"/>
      <c r="BJ10" s="34"/>
      <c r="BK10" s="34"/>
      <c r="BL10" s="34"/>
      <c r="BM10" s="36"/>
      <c r="BN10" s="36"/>
      <c r="BO10" s="35"/>
      <c r="BP10" s="35"/>
      <c r="BQ10" s="34"/>
      <c r="BR10" s="68"/>
      <c r="BS10" s="68"/>
      <c r="BT10" s="72"/>
      <c r="BU10" s="72"/>
      <c r="BV10" s="68"/>
      <c r="BW10" s="68"/>
      <c r="BX10" s="73"/>
      <c r="BY10" s="55">
        <v>1</v>
      </c>
      <c r="BZ10" s="43">
        <v>33983</v>
      </c>
      <c r="CA10" s="44">
        <f t="shared" si="0"/>
        <v>5437.28</v>
      </c>
      <c r="CB10" s="50">
        <f t="shared" ref="CB10:CB20" si="1">BZ10+CA10</f>
        <v>39420.28</v>
      </c>
    </row>
    <row r="11" spans="1:80" ht="36">
      <c r="A11" s="100"/>
      <c r="B11" s="103"/>
      <c r="C11" s="106"/>
      <c r="D11" s="23" t="s">
        <v>29</v>
      </c>
      <c r="E11" s="12" t="s">
        <v>15</v>
      </c>
      <c r="F11" s="12" t="s">
        <v>30</v>
      </c>
      <c r="G11" s="12" t="s">
        <v>28</v>
      </c>
      <c r="H11" s="12" t="s">
        <v>39</v>
      </c>
      <c r="I11" s="47" t="s">
        <v>47</v>
      </c>
      <c r="J11" s="47" t="s">
        <v>28</v>
      </c>
      <c r="K11" s="47" t="s">
        <v>60</v>
      </c>
      <c r="L11" s="47" t="s">
        <v>71</v>
      </c>
      <c r="M11" s="47" t="s">
        <v>43</v>
      </c>
      <c r="N11" s="47" t="s">
        <v>36</v>
      </c>
      <c r="O11" s="62"/>
      <c r="P11" s="36"/>
      <c r="Q11" s="36"/>
      <c r="R11" s="35"/>
      <c r="S11" s="35"/>
      <c r="T11" s="27"/>
      <c r="U11" s="34"/>
      <c r="V11" s="39"/>
      <c r="W11" s="36"/>
      <c r="X11" s="36"/>
      <c r="Y11" s="35"/>
      <c r="Z11" s="35"/>
      <c r="AA11" s="34"/>
      <c r="AB11" s="34"/>
      <c r="AC11" s="39"/>
      <c r="AD11" s="36"/>
      <c r="AE11" s="36"/>
      <c r="AF11" s="35"/>
      <c r="AG11" s="35"/>
      <c r="AH11" s="39" t="s">
        <v>32</v>
      </c>
      <c r="AI11" s="34"/>
      <c r="AJ11" s="34"/>
      <c r="AK11" s="36"/>
      <c r="AL11" s="36"/>
      <c r="AM11" s="35"/>
      <c r="AN11" s="35"/>
      <c r="AO11" s="39"/>
      <c r="AP11" s="34"/>
      <c r="AQ11" s="34"/>
      <c r="AR11" s="34"/>
      <c r="AS11" s="37"/>
      <c r="AT11" s="38"/>
      <c r="AU11" s="35"/>
      <c r="AV11" s="34"/>
      <c r="AW11" s="34"/>
      <c r="AX11" s="34"/>
      <c r="AY11" s="36"/>
      <c r="AZ11" s="36"/>
      <c r="BA11" s="35"/>
      <c r="BB11" s="35"/>
      <c r="BC11" s="34"/>
      <c r="BD11" s="34"/>
      <c r="BE11" s="34"/>
      <c r="BF11" s="34"/>
      <c r="BG11" s="34"/>
      <c r="BH11" s="35"/>
      <c r="BI11" s="35"/>
      <c r="BJ11" s="34"/>
      <c r="BK11" s="34"/>
      <c r="BL11" s="34"/>
      <c r="BM11" s="36"/>
      <c r="BN11" s="36"/>
      <c r="BO11" s="35"/>
      <c r="BP11" s="35"/>
      <c r="BQ11" s="34"/>
      <c r="BR11" s="68"/>
      <c r="BS11" s="68"/>
      <c r="BT11" s="72"/>
      <c r="BU11" s="72"/>
      <c r="BV11" s="68"/>
      <c r="BW11" s="68"/>
      <c r="BX11" s="73"/>
      <c r="BY11" s="56">
        <v>1</v>
      </c>
      <c r="BZ11" s="43">
        <v>33983</v>
      </c>
      <c r="CA11" s="44">
        <f t="shared" si="0"/>
        <v>5437.28</v>
      </c>
      <c r="CB11" s="50">
        <f t="shared" si="1"/>
        <v>39420.28</v>
      </c>
    </row>
    <row r="12" spans="1:80" ht="36">
      <c r="A12" s="100"/>
      <c r="B12" s="103"/>
      <c r="C12" s="106"/>
      <c r="D12" s="23" t="s">
        <v>29</v>
      </c>
      <c r="E12" s="12" t="s">
        <v>15</v>
      </c>
      <c r="F12" s="12" t="s">
        <v>30</v>
      </c>
      <c r="G12" s="12" t="s">
        <v>28</v>
      </c>
      <c r="H12" s="12" t="s">
        <v>40</v>
      </c>
      <c r="I12" s="47" t="s">
        <v>48</v>
      </c>
      <c r="J12" s="47" t="s">
        <v>28</v>
      </c>
      <c r="K12" s="47" t="s">
        <v>61</v>
      </c>
      <c r="L12" s="47" t="s">
        <v>31</v>
      </c>
      <c r="M12" s="47" t="s">
        <v>43</v>
      </c>
      <c r="N12" s="47" t="s">
        <v>36</v>
      </c>
      <c r="O12" s="62"/>
      <c r="P12" s="36"/>
      <c r="Q12" s="36"/>
      <c r="R12" s="35"/>
      <c r="S12" s="35"/>
      <c r="T12" s="27"/>
      <c r="U12" s="34"/>
      <c r="V12" s="34"/>
      <c r="W12" s="36"/>
      <c r="X12" s="36"/>
      <c r="Y12" s="35"/>
      <c r="Z12" s="35"/>
      <c r="AA12" s="34"/>
      <c r="AB12" s="34"/>
      <c r="AC12" s="34"/>
      <c r="AD12" s="36"/>
      <c r="AE12" s="36"/>
      <c r="AF12" s="35"/>
      <c r="AG12" s="35"/>
      <c r="AH12" s="34"/>
      <c r="AI12" s="34"/>
      <c r="AJ12" s="34"/>
      <c r="AK12" s="39"/>
      <c r="AL12" s="36"/>
      <c r="AM12" s="35"/>
      <c r="AN12" s="35"/>
      <c r="AO12" s="34"/>
      <c r="AP12" s="34"/>
      <c r="AQ12" s="39" t="s">
        <v>32</v>
      </c>
      <c r="AR12" s="34"/>
      <c r="AS12" s="37"/>
      <c r="AT12" s="38"/>
      <c r="AU12" s="35"/>
      <c r="AV12" s="34"/>
      <c r="AW12" s="34"/>
      <c r="AX12" s="39"/>
      <c r="AY12" s="36"/>
      <c r="AZ12" s="36"/>
      <c r="BA12" s="35"/>
      <c r="BB12" s="35"/>
      <c r="BC12" s="34"/>
      <c r="BD12" s="34"/>
      <c r="BE12" s="34"/>
      <c r="BF12" s="34"/>
      <c r="BG12" s="34"/>
      <c r="BH12" s="35"/>
      <c r="BI12" s="35"/>
      <c r="BJ12" s="34"/>
      <c r="BK12" s="34"/>
      <c r="BL12" s="34"/>
      <c r="BM12" s="36"/>
      <c r="BN12" s="36"/>
      <c r="BO12" s="35"/>
      <c r="BP12" s="35"/>
      <c r="BQ12" s="34"/>
      <c r="BR12" s="68"/>
      <c r="BS12" s="68"/>
      <c r="BT12" s="72"/>
      <c r="BU12" s="72"/>
      <c r="BV12" s="68"/>
      <c r="BW12" s="68"/>
      <c r="BX12" s="73"/>
      <c r="BY12" s="55">
        <v>1</v>
      </c>
      <c r="BZ12" s="43">
        <v>33983</v>
      </c>
      <c r="CA12" s="44">
        <f t="shared" si="0"/>
        <v>5437.28</v>
      </c>
      <c r="CB12" s="50">
        <f t="shared" si="1"/>
        <v>39420.28</v>
      </c>
    </row>
    <row r="13" spans="1:80" ht="36">
      <c r="A13" s="100"/>
      <c r="B13" s="103"/>
      <c r="C13" s="106"/>
      <c r="D13" s="23" t="s">
        <v>29</v>
      </c>
      <c r="E13" s="12" t="s">
        <v>15</v>
      </c>
      <c r="F13" s="12" t="s">
        <v>30</v>
      </c>
      <c r="G13" s="12" t="s">
        <v>28</v>
      </c>
      <c r="H13" s="12" t="s">
        <v>35</v>
      </c>
      <c r="I13" s="47" t="s">
        <v>49</v>
      </c>
      <c r="J13" s="47" t="s">
        <v>28</v>
      </c>
      <c r="K13" s="47" t="s">
        <v>62</v>
      </c>
      <c r="L13" s="47" t="s">
        <v>72</v>
      </c>
      <c r="M13" s="47" t="s">
        <v>43</v>
      </c>
      <c r="N13" s="47" t="s">
        <v>36</v>
      </c>
      <c r="O13" s="62"/>
      <c r="P13" s="36"/>
      <c r="Q13" s="36"/>
      <c r="R13" s="35"/>
      <c r="S13" s="35"/>
      <c r="T13" s="28"/>
      <c r="U13" s="28"/>
      <c r="V13" s="34"/>
      <c r="W13" s="36"/>
      <c r="X13" s="36"/>
      <c r="Y13" s="35"/>
      <c r="Z13" s="35"/>
      <c r="AA13" s="34"/>
      <c r="AB13" s="34"/>
      <c r="AC13" s="34"/>
      <c r="AD13" s="36"/>
      <c r="AE13" s="36"/>
      <c r="AF13" s="35"/>
      <c r="AG13" s="35"/>
      <c r="AH13" s="34"/>
      <c r="AI13" s="34"/>
      <c r="AJ13" s="34"/>
      <c r="AK13" s="36"/>
      <c r="AL13" s="36"/>
      <c r="AM13" s="35"/>
      <c r="AN13" s="35"/>
      <c r="AO13" s="34"/>
      <c r="AP13" s="34"/>
      <c r="AQ13" s="34"/>
      <c r="AR13" s="34"/>
      <c r="AS13" s="37"/>
      <c r="AT13" s="38"/>
      <c r="AU13" s="35"/>
      <c r="AV13" s="34"/>
      <c r="AW13" s="39" t="s">
        <v>32</v>
      </c>
      <c r="AX13" s="34"/>
      <c r="AY13" s="36"/>
      <c r="AZ13" s="39"/>
      <c r="BA13" s="35"/>
      <c r="BB13" s="35"/>
      <c r="BC13" s="34"/>
      <c r="BD13" s="39"/>
      <c r="BE13" s="34"/>
      <c r="BF13" s="34"/>
      <c r="BG13" s="34"/>
      <c r="BH13" s="35"/>
      <c r="BI13" s="35"/>
      <c r="BJ13" s="34"/>
      <c r="BK13" s="34"/>
      <c r="BL13" s="34"/>
      <c r="BM13" s="36"/>
      <c r="BN13" s="36"/>
      <c r="BO13" s="35"/>
      <c r="BP13" s="35"/>
      <c r="BQ13" s="34"/>
      <c r="BR13" s="68"/>
      <c r="BS13" s="68"/>
      <c r="BT13" s="72"/>
      <c r="BU13" s="72"/>
      <c r="BV13" s="68"/>
      <c r="BW13" s="68"/>
      <c r="BX13" s="73"/>
      <c r="BY13" s="56">
        <v>1</v>
      </c>
      <c r="BZ13" s="43">
        <v>33983</v>
      </c>
      <c r="CA13" s="44">
        <f t="shared" si="0"/>
        <v>5437.28</v>
      </c>
      <c r="CB13" s="50">
        <f t="shared" si="1"/>
        <v>39420.28</v>
      </c>
    </row>
    <row r="14" spans="1:80" ht="36">
      <c r="A14" s="100"/>
      <c r="B14" s="103"/>
      <c r="C14" s="106"/>
      <c r="D14" s="23" t="s">
        <v>29</v>
      </c>
      <c r="E14" s="12" t="s">
        <v>15</v>
      </c>
      <c r="F14" s="12" t="s">
        <v>30</v>
      </c>
      <c r="G14" s="12" t="s">
        <v>28</v>
      </c>
      <c r="H14" s="12" t="s">
        <v>31</v>
      </c>
      <c r="I14" s="47" t="s">
        <v>50</v>
      </c>
      <c r="J14" s="47" t="s">
        <v>28</v>
      </c>
      <c r="K14" s="47" t="s">
        <v>63</v>
      </c>
      <c r="L14" s="47" t="s">
        <v>71</v>
      </c>
      <c r="M14" s="47" t="s">
        <v>43</v>
      </c>
      <c r="N14" s="47" t="s">
        <v>36</v>
      </c>
      <c r="O14" s="62"/>
      <c r="P14" s="36"/>
      <c r="Q14" s="36"/>
      <c r="R14" s="35"/>
      <c r="S14" s="35"/>
      <c r="T14" s="28"/>
      <c r="U14" s="28"/>
      <c r="V14" s="34"/>
      <c r="W14" s="36"/>
      <c r="X14" s="36"/>
      <c r="Y14" s="35"/>
      <c r="Z14" s="35"/>
      <c r="AA14" s="34"/>
      <c r="AB14" s="34"/>
      <c r="AC14" s="34"/>
      <c r="AD14" s="36"/>
      <c r="AE14" s="36"/>
      <c r="AF14" s="35"/>
      <c r="AG14" s="35"/>
      <c r="AH14" s="34"/>
      <c r="AI14" s="34"/>
      <c r="AJ14" s="34"/>
      <c r="AK14" s="36"/>
      <c r="AL14" s="36"/>
      <c r="AM14" s="35"/>
      <c r="AN14" s="35"/>
      <c r="AO14" s="34"/>
      <c r="AP14" s="34"/>
      <c r="AQ14" s="34"/>
      <c r="AR14" s="34"/>
      <c r="AS14" s="37"/>
      <c r="AT14" s="38"/>
      <c r="AU14" s="35"/>
      <c r="AV14" s="34"/>
      <c r="AW14" s="34"/>
      <c r="AX14" s="34"/>
      <c r="AY14" s="53" t="s">
        <v>32</v>
      </c>
      <c r="AZ14" s="36"/>
      <c r="BA14" s="35"/>
      <c r="BB14" s="35"/>
      <c r="BC14" s="34"/>
      <c r="BD14" s="34"/>
      <c r="BE14" s="34"/>
      <c r="BF14" s="39"/>
      <c r="BG14" s="34"/>
      <c r="BH14" s="35"/>
      <c r="BI14" s="35"/>
      <c r="BJ14" s="39"/>
      <c r="BK14" s="34"/>
      <c r="BL14" s="34"/>
      <c r="BM14" s="36"/>
      <c r="BN14" s="36"/>
      <c r="BO14" s="35"/>
      <c r="BP14" s="35"/>
      <c r="BQ14" s="34"/>
      <c r="BR14" s="68"/>
      <c r="BS14" s="68"/>
      <c r="BT14" s="72"/>
      <c r="BU14" s="72"/>
      <c r="BV14" s="68"/>
      <c r="BW14" s="68"/>
      <c r="BX14" s="73"/>
      <c r="BY14" s="55">
        <v>1</v>
      </c>
      <c r="BZ14" s="43">
        <v>33983</v>
      </c>
      <c r="CA14" s="44">
        <f t="shared" si="0"/>
        <v>5437.28</v>
      </c>
      <c r="CB14" s="50">
        <f t="shared" si="1"/>
        <v>39420.28</v>
      </c>
    </row>
    <row r="15" spans="1:80" ht="36">
      <c r="A15" s="100"/>
      <c r="B15" s="103"/>
      <c r="C15" s="106"/>
      <c r="D15" s="23" t="s">
        <v>29</v>
      </c>
      <c r="E15" s="12" t="s">
        <v>15</v>
      </c>
      <c r="F15" s="12" t="s">
        <v>30</v>
      </c>
      <c r="G15" s="12" t="s">
        <v>28</v>
      </c>
      <c r="H15" s="12" t="s">
        <v>40</v>
      </c>
      <c r="I15" s="47" t="s">
        <v>51</v>
      </c>
      <c r="J15" s="47" t="s">
        <v>28</v>
      </c>
      <c r="K15" s="47" t="s">
        <v>64</v>
      </c>
      <c r="L15" s="47" t="s">
        <v>35</v>
      </c>
      <c r="M15" s="47" t="s">
        <v>43</v>
      </c>
      <c r="N15" s="47" t="s">
        <v>36</v>
      </c>
      <c r="O15" s="62"/>
      <c r="P15" s="36"/>
      <c r="Q15" s="36"/>
      <c r="R15" s="35"/>
      <c r="S15" s="35"/>
      <c r="T15" s="28"/>
      <c r="U15" s="34"/>
      <c r="V15" s="34"/>
      <c r="W15" s="36"/>
      <c r="X15" s="36"/>
      <c r="Y15" s="35"/>
      <c r="Z15" s="35"/>
      <c r="AA15" s="34"/>
      <c r="AB15" s="34"/>
      <c r="AC15" s="34"/>
      <c r="AD15" s="28"/>
      <c r="AE15" s="28"/>
      <c r="AF15" s="35"/>
      <c r="AG15" s="35"/>
      <c r="AH15" s="34"/>
      <c r="AI15" s="34"/>
      <c r="AJ15" s="34"/>
      <c r="AK15" s="36"/>
      <c r="AL15" s="36"/>
      <c r="AM15" s="35"/>
      <c r="AN15" s="35"/>
      <c r="AO15" s="34"/>
      <c r="AP15" s="34"/>
      <c r="AQ15" s="34"/>
      <c r="AR15" s="34"/>
      <c r="AS15" s="37"/>
      <c r="AT15" s="38"/>
      <c r="AU15" s="35"/>
      <c r="AV15" s="34"/>
      <c r="AW15" s="34"/>
      <c r="AX15" s="34"/>
      <c r="AY15" s="36"/>
      <c r="AZ15" s="36"/>
      <c r="BA15" s="35"/>
      <c r="BB15" s="35"/>
      <c r="BC15" s="39" t="s">
        <v>32</v>
      </c>
      <c r="BD15" s="39"/>
      <c r="BE15" s="32"/>
      <c r="BF15" s="39"/>
      <c r="BG15" s="39"/>
      <c r="BH15" s="35"/>
      <c r="BI15" s="35"/>
      <c r="BJ15" s="34"/>
      <c r="BK15" s="34"/>
      <c r="BL15" s="34"/>
      <c r="BM15" s="36"/>
      <c r="BN15" s="39"/>
      <c r="BO15" s="35"/>
      <c r="BP15" s="35"/>
      <c r="BQ15" s="34"/>
      <c r="BR15" s="68"/>
      <c r="BS15" s="68"/>
      <c r="BT15" s="74"/>
      <c r="BU15" s="72"/>
      <c r="BV15" s="68"/>
      <c r="BW15" s="68"/>
      <c r="BX15" s="73"/>
      <c r="BY15" s="56">
        <v>1</v>
      </c>
      <c r="BZ15" s="43">
        <v>33983</v>
      </c>
      <c r="CA15" s="44">
        <f t="shared" si="0"/>
        <v>5437.28</v>
      </c>
      <c r="CB15" s="50">
        <f t="shared" si="1"/>
        <v>39420.28</v>
      </c>
    </row>
    <row r="16" spans="1:80" ht="36">
      <c r="A16" s="100"/>
      <c r="B16" s="103"/>
      <c r="C16" s="106"/>
      <c r="D16" s="23" t="s">
        <v>29</v>
      </c>
      <c r="E16" s="12" t="s">
        <v>15</v>
      </c>
      <c r="F16" s="12" t="s">
        <v>30</v>
      </c>
      <c r="G16" s="12" t="s">
        <v>28</v>
      </c>
      <c r="H16" s="12" t="s">
        <v>31</v>
      </c>
      <c r="I16" s="47" t="s">
        <v>52</v>
      </c>
      <c r="J16" s="47" t="s">
        <v>28</v>
      </c>
      <c r="K16" s="47" t="s">
        <v>65</v>
      </c>
      <c r="L16" s="47" t="s">
        <v>71</v>
      </c>
      <c r="M16" s="47" t="s">
        <v>43</v>
      </c>
      <c r="N16" s="47" t="s">
        <v>36</v>
      </c>
      <c r="O16" s="62"/>
      <c r="P16" s="36"/>
      <c r="Q16" s="36"/>
      <c r="R16" s="35"/>
      <c r="S16" s="35"/>
      <c r="T16" s="28"/>
      <c r="U16" s="34"/>
      <c r="V16" s="34"/>
      <c r="W16" s="36"/>
      <c r="X16" s="36"/>
      <c r="Y16" s="35"/>
      <c r="Z16" s="35"/>
      <c r="AA16" s="34"/>
      <c r="AB16" s="34"/>
      <c r="AC16" s="34"/>
      <c r="AD16" s="28"/>
      <c r="AE16" s="28"/>
      <c r="AF16" s="35"/>
      <c r="AG16" s="35"/>
      <c r="AH16" s="34"/>
      <c r="AI16" s="34"/>
      <c r="AJ16" s="34"/>
      <c r="AK16" s="36"/>
      <c r="AL16" s="36"/>
      <c r="AM16" s="35"/>
      <c r="AN16" s="35"/>
      <c r="AO16" s="34"/>
      <c r="AP16" s="34"/>
      <c r="AQ16" s="34"/>
      <c r="AR16" s="34"/>
      <c r="AS16" s="37"/>
      <c r="AT16" s="38"/>
      <c r="AU16" s="35"/>
      <c r="AV16" s="34"/>
      <c r="AW16" s="34"/>
      <c r="AX16" s="34"/>
      <c r="AY16" s="36"/>
      <c r="AZ16" s="36"/>
      <c r="BA16" s="35"/>
      <c r="BB16" s="35"/>
      <c r="BC16" s="39"/>
      <c r="BD16" s="39"/>
      <c r="BE16" s="32"/>
      <c r="BF16" s="39" t="s">
        <v>32</v>
      </c>
      <c r="BG16" s="39"/>
      <c r="BH16" s="35"/>
      <c r="BI16" s="35"/>
      <c r="BJ16" s="34"/>
      <c r="BK16" s="34"/>
      <c r="BL16" s="34"/>
      <c r="BM16" s="36"/>
      <c r="BN16" s="36"/>
      <c r="BO16" s="35"/>
      <c r="BP16" s="35"/>
      <c r="BQ16" s="39"/>
      <c r="BR16" s="74"/>
      <c r="BS16" s="74"/>
      <c r="BT16" s="75"/>
      <c r="BU16" s="75"/>
      <c r="BV16" s="68"/>
      <c r="BW16" s="68"/>
      <c r="BX16" s="73"/>
      <c r="BY16" s="55">
        <v>1</v>
      </c>
      <c r="BZ16" s="43">
        <v>33983</v>
      </c>
      <c r="CA16" s="44">
        <f t="shared" si="0"/>
        <v>5437.28</v>
      </c>
      <c r="CB16" s="50">
        <f t="shared" si="1"/>
        <v>39420.28</v>
      </c>
    </row>
    <row r="17" spans="1:80" ht="36">
      <c r="A17" s="100"/>
      <c r="B17" s="103"/>
      <c r="C17" s="106"/>
      <c r="D17" s="23" t="s">
        <v>29</v>
      </c>
      <c r="E17" s="12" t="s">
        <v>15</v>
      </c>
      <c r="F17" s="12" t="s">
        <v>30</v>
      </c>
      <c r="G17" s="12" t="s">
        <v>28</v>
      </c>
      <c r="H17" s="12" t="s">
        <v>33</v>
      </c>
      <c r="I17" s="47" t="s">
        <v>53</v>
      </c>
      <c r="J17" s="47" t="s">
        <v>28</v>
      </c>
      <c r="K17" s="47" t="s">
        <v>66</v>
      </c>
      <c r="L17" s="47" t="s">
        <v>33</v>
      </c>
      <c r="M17" s="47" t="s">
        <v>43</v>
      </c>
      <c r="N17" s="47" t="s">
        <v>36</v>
      </c>
      <c r="O17" s="62"/>
      <c r="P17" s="36"/>
      <c r="Q17" s="36"/>
      <c r="R17" s="35"/>
      <c r="S17" s="35"/>
      <c r="T17" s="28"/>
      <c r="U17" s="34"/>
      <c r="V17" s="34"/>
      <c r="W17" s="36"/>
      <c r="X17" s="36"/>
      <c r="Y17" s="35"/>
      <c r="Z17" s="35"/>
      <c r="AA17" s="34"/>
      <c r="AB17" s="34"/>
      <c r="AC17" s="34"/>
      <c r="AD17" s="36"/>
      <c r="AE17" s="36"/>
      <c r="AF17" s="35"/>
      <c r="AG17" s="35"/>
      <c r="AH17" s="34"/>
      <c r="AI17" s="34"/>
      <c r="AJ17" s="34"/>
      <c r="AK17" s="36"/>
      <c r="AL17" s="36"/>
      <c r="AM17" s="40"/>
      <c r="AN17" s="40"/>
      <c r="AO17" s="34"/>
      <c r="AP17" s="34"/>
      <c r="AQ17" s="34"/>
      <c r="AR17" s="34"/>
      <c r="AS17" s="37"/>
      <c r="AT17" s="38"/>
      <c r="AU17" s="35"/>
      <c r="AV17" s="34"/>
      <c r="AW17" s="34"/>
      <c r="AX17" s="34"/>
      <c r="AY17" s="36"/>
      <c r="AZ17" s="36"/>
      <c r="BA17" s="35"/>
      <c r="BB17" s="35"/>
      <c r="BC17" s="39"/>
      <c r="BD17" s="39"/>
      <c r="BE17" s="32"/>
      <c r="BF17" s="39"/>
      <c r="BG17" s="39" t="s">
        <v>32</v>
      </c>
      <c r="BH17" s="35"/>
      <c r="BI17" s="35"/>
      <c r="BJ17" s="34"/>
      <c r="BK17" s="34"/>
      <c r="BL17" s="34"/>
      <c r="BM17" s="36"/>
      <c r="BN17" s="36"/>
      <c r="BO17" s="35"/>
      <c r="BP17" s="35"/>
      <c r="BQ17" s="39"/>
      <c r="BR17" s="74"/>
      <c r="BS17" s="74"/>
      <c r="BT17" s="75"/>
      <c r="BU17" s="75"/>
      <c r="BV17" s="68"/>
      <c r="BW17" s="68"/>
      <c r="BX17" s="73"/>
      <c r="BY17" s="56">
        <v>1</v>
      </c>
      <c r="BZ17" s="43">
        <v>33983</v>
      </c>
      <c r="CA17" s="44">
        <f t="shared" si="0"/>
        <v>5437.28</v>
      </c>
      <c r="CB17" s="50">
        <f t="shared" si="1"/>
        <v>39420.28</v>
      </c>
    </row>
    <row r="18" spans="1:80" ht="36">
      <c r="A18" s="100"/>
      <c r="B18" s="103"/>
      <c r="C18" s="106"/>
      <c r="D18" s="23" t="s">
        <v>29</v>
      </c>
      <c r="E18" s="12" t="s">
        <v>15</v>
      </c>
      <c r="F18" s="12" t="s">
        <v>30</v>
      </c>
      <c r="G18" s="12" t="s">
        <v>28</v>
      </c>
      <c r="H18" s="12" t="s">
        <v>39</v>
      </c>
      <c r="I18" s="47" t="s">
        <v>54</v>
      </c>
      <c r="J18" s="47" t="s">
        <v>28</v>
      </c>
      <c r="K18" s="47" t="s">
        <v>67</v>
      </c>
      <c r="L18" s="47" t="s">
        <v>71</v>
      </c>
      <c r="M18" s="47" t="s">
        <v>43</v>
      </c>
      <c r="N18" s="47" t="s">
        <v>36</v>
      </c>
      <c r="O18" s="62"/>
      <c r="P18" s="36"/>
      <c r="Q18" s="36"/>
      <c r="R18" s="35"/>
      <c r="S18" s="35"/>
      <c r="T18" s="28"/>
      <c r="U18" s="34"/>
      <c r="V18" s="34"/>
      <c r="W18" s="36"/>
      <c r="X18" s="36"/>
      <c r="Y18" s="35"/>
      <c r="Z18" s="35"/>
      <c r="AA18" s="34"/>
      <c r="AB18" s="34"/>
      <c r="AC18" s="34"/>
      <c r="AD18" s="36"/>
      <c r="AE18" s="36"/>
      <c r="AF18" s="35"/>
      <c r="AG18" s="35"/>
      <c r="AH18" s="34"/>
      <c r="AI18" s="34"/>
      <c r="AJ18" s="34"/>
      <c r="AK18" s="36"/>
      <c r="AL18" s="36"/>
      <c r="AM18" s="40"/>
      <c r="AN18" s="40"/>
      <c r="AO18" s="34"/>
      <c r="AP18" s="34"/>
      <c r="AQ18" s="34"/>
      <c r="AR18" s="34"/>
      <c r="AS18" s="37"/>
      <c r="AT18" s="38"/>
      <c r="AU18" s="35"/>
      <c r="AV18" s="34"/>
      <c r="AW18" s="34"/>
      <c r="AX18" s="34"/>
      <c r="AY18" s="36"/>
      <c r="AZ18" s="36"/>
      <c r="BA18" s="35"/>
      <c r="BB18" s="35"/>
      <c r="BC18" s="34"/>
      <c r="BD18" s="34"/>
      <c r="BE18" s="27"/>
      <c r="BF18" s="34"/>
      <c r="BG18" s="34"/>
      <c r="BH18" s="35"/>
      <c r="BI18" s="35"/>
      <c r="BJ18" s="39"/>
      <c r="BK18" s="39" t="s">
        <v>32</v>
      </c>
      <c r="BL18" s="39"/>
      <c r="BM18" s="53"/>
      <c r="BN18" s="53"/>
      <c r="BO18" s="35"/>
      <c r="BP18" s="35"/>
      <c r="BQ18" s="39"/>
      <c r="BR18" s="74"/>
      <c r="BS18" s="74"/>
      <c r="BT18" s="75"/>
      <c r="BU18" s="75"/>
      <c r="BV18" s="68"/>
      <c r="BW18" s="68"/>
      <c r="BX18" s="73"/>
      <c r="BY18" s="55">
        <v>1</v>
      </c>
      <c r="BZ18" s="43">
        <v>33983</v>
      </c>
      <c r="CA18" s="44">
        <f t="shared" si="0"/>
        <v>5437.28</v>
      </c>
      <c r="CB18" s="50">
        <f t="shared" si="1"/>
        <v>39420.28</v>
      </c>
    </row>
    <row r="19" spans="1:80" ht="36">
      <c r="A19" s="100"/>
      <c r="B19" s="103"/>
      <c r="C19" s="106"/>
      <c r="D19" s="23" t="s">
        <v>29</v>
      </c>
      <c r="E19" s="12" t="s">
        <v>15</v>
      </c>
      <c r="F19" s="12" t="s">
        <v>30</v>
      </c>
      <c r="G19" s="12" t="s">
        <v>28</v>
      </c>
      <c r="H19" s="12" t="s">
        <v>33</v>
      </c>
      <c r="I19" s="47" t="s">
        <v>55</v>
      </c>
      <c r="J19" s="47" t="s">
        <v>28</v>
      </c>
      <c r="K19" s="47" t="s">
        <v>68</v>
      </c>
      <c r="L19" s="47" t="s">
        <v>31</v>
      </c>
      <c r="M19" s="47" t="s">
        <v>43</v>
      </c>
      <c r="N19" s="47" t="s">
        <v>36</v>
      </c>
      <c r="O19" s="62"/>
      <c r="P19" s="36"/>
      <c r="Q19" s="36"/>
      <c r="R19" s="35"/>
      <c r="S19" s="35"/>
      <c r="T19" s="28"/>
      <c r="U19" s="34"/>
      <c r="V19" s="34"/>
      <c r="W19" s="36"/>
      <c r="X19" s="36"/>
      <c r="Y19" s="35"/>
      <c r="Z19" s="35"/>
      <c r="AA19" s="34"/>
      <c r="AB19" s="34"/>
      <c r="AC19" s="34"/>
      <c r="AD19" s="36"/>
      <c r="AE19" s="36"/>
      <c r="AF19" s="35"/>
      <c r="AG19" s="35"/>
      <c r="AH19" s="34"/>
      <c r="AI19" s="34"/>
      <c r="AJ19" s="34"/>
      <c r="AK19" s="36"/>
      <c r="AL19" s="36"/>
      <c r="AM19" s="35"/>
      <c r="AN19" s="35"/>
      <c r="AO19" s="34"/>
      <c r="AP19" s="34"/>
      <c r="AQ19" s="34"/>
      <c r="AR19" s="34"/>
      <c r="AS19" s="37"/>
      <c r="AT19" s="38"/>
      <c r="AU19" s="35"/>
      <c r="AV19" s="28"/>
      <c r="AW19" s="34"/>
      <c r="AX19" s="28"/>
      <c r="AY19" s="28"/>
      <c r="AZ19" s="36"/>
      <c r="BA19" s="35"/>
      <c r="BB19" s="35"/>
      <c r="BC19" s="34"/>
      <c r="BD19" s="34"/>
      <c r="BE19" s="27"/>
      <c r="BF19" s="34"/>
      <c r="BG19" s="34"/>
      <c r="BH19" s="35"/>
      <c r="BI19" s="35"/>
      <c r="BJ19" s="39"/>
      <c r="BK19" s="39"/>
      <c r="BL19" s="39" t="s">
        <v>32</v>
      </c>
      <c r="BM19" s="53"/>
      <c r="BN19" s="53"/>
      <c r="BO19" s="35"/>
      <c r="BP19" s="35"/>
      <c r="BQ19" s="39"/>
      <c r="BR19" s="74"/>
      <c r="BS19" s="74"/>
      <c r="BT19" s="75"/>
      <c r="BU19" s="75"/>
      <c r="BV19" s="68"/>
      <c r="BW19" s="68"/>
      <c r="BX19" s="73"/>
      <c r="BY19" s="56">
        <v>1</v>
      </c>
      <c r="BZ19" s="43">
        <v>33983</v>
      </c>
      <c r="CA19" s="44">
        <f t="shared" si="0"/>
        <v>5437.28</v>
      </c>
      <c r="CB19" s="50">
        <f t="shared" si="1"/>
        <v>39420.28</v>
      </c>
    </row>
    <row r="20" spans="1:80" ht="36">
      <c r="A20" s="100"/>
      <c r="B20" s="103"/>
      <c r="C20" s="106"/>
      <c r="D20" s="23" t="s">
        <v>29</v>
      </c>
      <c r="E20" s="12" t="s">
        <v>15</v>
      </c>
      <c r="F20" s="12" t="s">
        <v>30</v>
      </c>
      <c r="G20" s="12" t="s">
        <v>28</v>
      </c>
      <c r="H20" s="12" t="s">
        <v>31</v>
      </c>
      <c r="I20" s="47" t="s">
        <v>56</v>
      </c>
      <c r="J20" s="47" t="s">
        <v>28</v>
      </c>
      <c r="K20" s="47" t="s">
        <v>69</v>
      </c>
      <c r="L20" s="47" t="s">
        <v>35</v>
      </c>
      <c r="M20" s="47" t="s">
        <v>43</v>
      </c>
      <c r="N20" s="47" t="s">
        <v>36</v>
      </c>
      <c r="O20" s="62"/>
      <c r="P20" s="36"/>
      <c r="Q20" s="36"/>
      <c r="R20" s="35"/>
      <c r="S20" s="35"/>
      <c r="T20" s="28"/>
      <c r="U20" s="34"/>
      <c r="V20" s="34"/>
      <c r="W20" s="36"/>
      <c r="X20" s="36"/>
      <c r="Y20" s="35"/>
      <c r="Z20" s="35"/>
      <c r="AA20" s="34"/>
      <c r="AB20" s="34"/>
      <c r="AC20" s="34"/>
      <c r="AD20" s="36"/>
      <c r="AE20" s="36"/>
      <c r="AF20" s="35"/>
      <c r="AG20" s="35"/>
      <c r="AH20" s="34"/>
      <c r="AI20" s="34"/>
      <c r="AJ20" s="34"/>
      <c r="AK20" s="36"/>
      <c r="AL20" s="36"/>
      <c r="AM20" s="35"/>
      <c r="AN20" s="35"/>
      <c r="AO20" s="34"/>
      <c r="AP20" s="34"/>
      <c r="AQ20" s="34"/>
      <c r="AR20" s="34"/>
      <c r="AS20" s="37"/>
      <c r="AT20" s="38"/>
      <c r="AU20" s="35"/>
      <c r="AV20" s="28"/>
      <c r="AW20" s="34"/>
      <c r="AX20" s="28"/>
      <c r="AY20" s="36"/>
      <c r="AZ20" s="36"/>
      <c r="BA20" s="35"/>
      <c r="BB20" s="35"/>
      <c r="BC20" s="34"/>
      <c r="BD20" s="34"/>
      <c r="BE20" s="27"/>
      <c r="BF20" s="34"/>
      <c r="BG20" s="34"/>
      <c r="BH20" s="35"/>
      <c r="BI20" s="35"/>
      <c r="BJ20" s="39"/>
      <c r="BK20" s="39"/>
      <c r="BL20" s="39"/>
      <c r="BM20" s="53"/>
      <c r="BN20" s="53" t="s">
        <v>32</v>
      </c>
      <c r="BO20" s="35"/>
      <c r="BP20" s="35"/>
      <c r="BQ20" s="39"/>
      <c r="BR20" s="74"/>
      <c r="BS20" s="74"/>
      <c r="BT20" s="75"/>
      <c r="BU20" s="75"/>
      <c r="BV20" s="68"/>
      <c r="BW20" s="68"/>
      <c r="BX20" s="73"/>
      <c r="BY20" s="55">
        <v>1</v>
      </c>
      <c r="BZ20" s="43">
        <v>33983</v>
      </c>
      <c r="CA20" s="44">
        <f t="shared" si="0"/>
        <v>5437.28</v>
      </c>
      <c r="CB20" s="50">
        <f t="shared" si="1"/>
        <v>39420.28</v>
      </c>
    </row>
    <row r="21" spans="1:80" ht="36.75" thickBot="1">
      <c r="A21" s="101"/>
      <c r="B21" s="104"/>
      <c r="C21" s="107"/>
      <c r="D21" s="24" t="s">
        <v>29</v>
      </c>
      <c r="E21" s="22" t="s">
        <v>15</v>
      </c>
      <c r="F21" s="22" t="s">
        <v>30</v>
      </c>
      <c r="G21" s="22" t="s">
        <v>28</v>
      </c>
      <c r="H21" s="22" t="s">
        <v>33</v>
      </c>
      <c r="I21" s="48" t="s">
        <v>57</v>
      </c>
      <c r="J21" s="49" t="s">
        <v>28</v>
      </c>
      <c r="K21" s="48" t="s">
        <v>70</v>
      </c>
      <c r="L21" s="48" t="s">
        <v>35</v>
      </c>
      <c r="M21" s="49" t="s">
        <v>44</v>
      </c>
      <c r="N21" s="48" t="s">
        <v>36</v>
      </c>
      <c r="O21" s="63"/>
      <c r="P21" s="41"/>
      <c r="Q21" s="41"/>
      <c r="R21" s="42"/>
      <c r="S21" s="42"/>
      <c r="T21" s="41"/>
      <c r="U21" s="41"/>
      <c r="V21" s="41"/>
      <c r="W21" s="41"/>
      <c r="X21" s="41"/>
      <c r="Y21" s="42"/>
      <c r="Z21" s="42"/>
      <c r="AA21" s="41"/>
      <c r="AB21" s="41"/>
      <c r="AC21" s="41"/>
      <c r="AD21" s="41"/>
      <c r="AE21" s="41"/>
      <c r="AF21" s="42"/>
      <c r="AG21" s="42"/>
      <c r="AH21" s="41"/>
      <c r="AI21" s="41"/>
      <c r="AJ21" s="41"/>
      <c r="AK21" s="41"/>
      <c r="AL21" s="41"/>
      <c r="AM21" s="42"/>
      <c r="AN21" s="42"/>
      <c r="AO21" s="41"/>
      <c r="AP21" s="41"/>
      <c r="AQ21" s="41"/>
      <c r="AR21" s="41"/>
      <c r="AS21" s="41"/>
      <c r="AT21" s="42"/>
      <c r="AU21" s="42"/>
      <c r="AV21" s="41"/>
      <c r="AW21" s="41"/>
      <c r="AX21" s="41"/>
      <c r="AY21" s="41"/>
      <c r="AZ21" s="41"/>
      <c r="BA21" s="42"/>
      <c r="BB21" s="42"/>
      <c r="BC21" s="41"/>
      <c r="BD21" s="41"/>
      <c r="BE21" s="41"/>
      <c r="BF21" s="41"/>
      <c r="BG21" s="41"/>
      <c r="BH21" s="42"/>
      <c r="BI21" s="42"/>
      <c r="BJ21" s="41"/>
      <c r="BK21" s="41"/>
      <c r="BL21" s="41"/>
      <c r="BM21" s="41"/>
      <c r="BN21" s="41"/>
      <c r="BO21" s="42"/>
      <c r="BP21" s="42"/>
      <c r="BQ21" s="46" t="s">
        <v>32</v>
      </c>
      <c r="BR21" s="76"/>
      <c r="BS21" s="76"/>
      <c r="BT21" s="76"/>
      <c r="BU21" s="76"/>
      <c r="BV21" s="77"/>
      <c r="BW21" s="77"/>
      <c r="BX21" s="78"/>
      <c r="BY21" s="57">
        <v>1</v>
      </c>
      <c r="BZ21" s="45">
        <v>17000</v>
      </c>
      <c r="CA21" s="52">
        <f t="shared" si="0"/>
        <v>2720</v>
      </c>
      <c r="CB21" s="51">
        <f t="shared" ref="CB21" si="2">BZ21+CA21</f>
        <v>19720</v>
      </c>
    </row>
    <row r="22" spans="1:80" ht="29.1" customHeight="1" thickBot="1">
      <c r="BY22" s="58">
        <f>SUM(BY9:BY21)</f>
        <v>13</v>
      </c>
      <c r="BZ22" s="59">
        <f>SUM(BZ9:BZ21)</f>
        <v>424796</v>
      </c>
      <c r="CA22" s="59">
        <f>SUM(CA9:CA21)</f>
        <v>67967.359999999986</v>
      </c>
      <c r="CB22" s="59">
        <f>SUM(CB9:CB21)</f>
        <v>492763.3600000001</v>
      </c>
    </row>
  </sheetData>
  <mergeCells count="30">
    <mergeCell ref="CA7:CA8"/>
    <mergeCell ref="CB7:CB8"/>
    <mergeCell ref="A9:A21"/>
    <mergeCell ref="B9:B21"/>
    <mergeCell ref="C9:C21"/>
    <mergeCell ref="BY7:BY8"/>
    <mergeCell ref="BZ7:BZ8"/>
    <mergeCell ref="A7:A8"/>
    <mergeCell ref="B7:B8"/>
    <mergeCell ref="C7:C8"/>
    <mergeCell ref="D7:D8"/>
    <mergeCell ref="E7:E8"/>
    <mergeCell ref="F7:F8"/>
    <mergeCell ref="G7:G8"/>
    <mergeCell ref="H7:M7"/>
    <mergeCell ref="N7:N8"/>
    <mergeCell ref="A6:M6"/>
    <mergeCell ref="O6:AS6"/>
    <mergeCell ref="AT6:BX6"/>
    <mergeCell ref="P4:AR4"/>
    <mergeCell ref="AU4:BW4"/>
    <mergeCell ref="A5:B5"/>
    <mergeCell ref="C5:N5"/>
    <mergeCell ref="O5:BX5"/>
    <mergeCell ref="A2:B2"/>
    <mergeCell ref="C2:N2"/>
    <mergeCell ref="A3:B3"/>
    <mergeCell ref="C3:N3"/>
    <mergeCell ref="A4:B4"/>
    <mergeCell ref="C4:N4"/>
  </mergeCells>
  <conditionalFormatting sqref="C2">
    <cfRule type="expression" dxfId="4" priority="1">
      <formula>#REF!="TELEVISIÓN"</formula>
    </cfRule>
    <cfRule type="expression" dxfId="3" priority="2">
      <formula>#REF!="RADIO"</formula>
    </cfRule>
    <cfRule type="expression" dxfId="2" priority="3">
      <formula>#REF!="IMPRESOS"</formula>
    </cfRule>
    <cfRule type="expression" dxfId="1" priority="4">
      <formula>#REF!="DIGITAL"</formula>
    </cfRule>
    <cfRule type="expression" dxfId="0" priority="5">
      <formula>#REF!="COMPLEMENTARIOS"</formula>
    </cfRule>
  </conditionalFormatting>
  <pageMargins left="0.11811023622047245" right="0.11811023622047245" top="0.74803149606299213" bottom="0.74803149606299213" header="0.31496062992125984" footer="0.31496062992125984"/>
  <pageSetup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TELEVISIÓN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 Rodriguez Margarita</dc:creator>
  <cp:lastModifiedBy>Ana Judith Velázquez Guzmán</cp:lastModifiedBy>
  <cp:lastPrinted>2026-06-26T20:48:18Z</cp:lastPrinted>
  <dcterms:created xsi:type="dcterms:W3CDTF">2025-05-06T16:26:49Z</dcterms:created>
  <dcterms:modified xsi:type="dcterms:W3CDTF">2026-07-16T00:24:03Z</dcterms:modified>
</cp:coreProperties>
</file>